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81DC6EB3-8A0E-492F-9C96-1234B7303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30" i="1" s="1"/>
  <c r="A13" i="1"/>
  <c r="B13" i="1" s="1"/>
  <c r="C7" i="1"/>
  <c r="D13" i="1" s="1"/>
</calcChain>
</file>

<file path=xl/sharedStrings.xml><?xml version="1.0" encoding="utf-8"?>
<sst xmlns="http://schemas.openxmlformats.org/spreadsheetml/2006/main" count="15" uniqueCount="15">
  <si>
    <t>INPUTS</t>
  </si>
  <si>
    <t>Vbat (V)</t>
  </si>
  <si>
    <t>L (uH)</t>
  </si>
  <si>
    <t>V Ripple 5%</t>
  </si>
  <si>
    <t>f (kHz)</t>
  </si>
  <si>
    <t>OUTPUTS</t>
  </si>
  <si>
    <t>delta i (App)</t>
  </si>
  <si>
    <t>delta i (Arms)</t>
  </si>
  <si>
    <t>C (uF) bulk for 5% ripple</t>
  </si>
  <si>
    <t>ESR from dissipation factor</t>
  </si>
  <si>
    <t>tan(δ)</t>
  </si>
  <si>
    <t>f (Hz)</t>
  </si>
  <si>
    <t>C (uF)</t>
  </si>
  <si>
    <t>ESR</t>
  </si>
  <si>
    <t>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</si>
</sst>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sz val="9"/>
      <color rgb="FF0070BB"/>
      <name val="Arial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sz val="11"/>
      <color rgb="FF222222"/>
      <name val="Helvetica"/>
    </font>
    <font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" fontId="6" fillId="4" borderId="0" xfId="0" applyNumberFormat="1" applyFont="1" applyFill="1" applyAlignment="1">
      <alignment horizontal="center"/>
    </xf>
    <xf numFmtId="0" fontId="2" fillId="0" borderId="0" xfId="0" applyFont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L30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1" width="14.42578125" customWidth="1"/>
    <col min="2" max="2" width="34.42578125" customWidth="1"/>
    <col min="3" max="3" width="20" customWidth="1"/>
    <col min="4" max="4" width="27.28515625" customWidth="1"/>
    <col min="6" max="6" width="14.42578125" customWidth="1"/>
    <col min="7" max="7" width="15.85546875" customWidth="1"/>
  </cols>
  <sheetData>
    <row r="3" spans="1:12" ht="12.75" x14ac:dyDescent="0.2">
      <c r="B3" s="1"/>
    </row>
    <row r="4" spans="1:12" ht="23.25" x14ac:dyDescent="0.35">
      <c r="A4" s="2"/>
      <c r="B4" s="3" t="s">
        <v>0</v>
      </c>
      <c r="C4" s="2"/>
      <c r="D4" s="2"/>
      <c r="L4" s="4"/>
    </row>
    <row r="5" spans="1:12" ht="18" x14ac:dyDescent="0.25">
      <c r="A5" s="2"/>
      <c r="B5" s="2"/>
      <c r="C5" s="2"/>
      <c r="D5" s="2"/>
      <c r="E5" s="5"/>
    </row>
    <row r="6" spans="1:12" ht="43.5" customHeight="1" x14ac:dyDescent="0.25">
      <c r="A6" s="6" t="s">
        <v>1</v>
      </c>
      <c r="B6" s="6" t="s">
        <v>2</v>
      </c>
      <c r="C6" s="7" t="s">
        <v>3</v>
      </c>
      <c r="D6" s="6" t="s">
        <v>4</v>
      </c>
    </row>
    <row r="7" spans="1:12" ht="18" x14ac:dyDescent="0.25">
      <c r="A7" s="6">
        <v>150</v>
      </c>
      <c r="B7" s="6">
        <v>1</v>
      </c>
      <c r="C7" s="8">
        <f>A7*5%</f>
        <v>7.5</v>
      </c>
      <c r="D7" s="6">
        <v>15</v>
      </c>
    </row>
    <row r="10" spans="1:12" ht="23.25" x14ac:dyDescent="0.35">
      <c r="A10" s="9"/>
      <c r="B10" s="10" t="s">
        <v>5</v>
      </c>
      <c r="C10" s="9"/>
      <c r="D10" s="9"/>
    </row>
    <row r="11" spans="1:12" ht="12.75" x14ac:dyDescent="0.2">
      <c r="A11" s="9"/>
      <c r="B11" s="9"/>
      <c r="C11" s="9"/>
      <c r="D11" s="9"/>
    </row>
    <row r="12" spans="1:12" ht="18" x14ac:dyDescent="0.25">
      <c r="A12" s="11" t="s">
        <v>6</v>
      </c>
      <c r="B12" s="11" t="s">
        <v>7</v>
      </c>
      <c r="C12" s="12"/>
      <c r="D12" s="11" t="s">
        <v>8</v>
      </c>
    </row>
    <row r="13" spans="1:12" ht="18" x14ac:dyDescent="0.25">
      <c r="A13" s="11">
        <f>0.5*(1-0.5)*(A7/((D7*1000)*(B7*10^-6)))</f>
        <v>2500</v>
      </c>
      <c r="B13" s="13">
        <f>1/SQRT(2) * A13</f>
        <v>1767.7669529663688</v>
      </c>
      <c r="C13" s="12"/>
      <c r="D13" s="11">
        <f>1000000 * (A7/(32*(B7*10^-6)*C7*(D7*1000)^2))</f>
        <v>2777.7777777777783</v>
      </c>
    </row>
    <row r="14" spans="1:12" ht="18" x14ac:dyDescent="0.25">
      <c r="A14" s="11"/>
      <c r="B14" s="13"/>
      <c r="C14" s="12"/>
      <c r="D14" s="11"/>
    </row>
    <row r="22" spans="1:7" ht="12.75" x14ac:dyDescent="0.2">
      <c r="B22" s="14" t="s">
        <v>9</v>
      </c>
    </row>
    <row r="24" spans="1:7" ht="14.25" x14ac:dyDescent="0.2">
      <c r="A24" s="15" t="s">
        <v>10</v>
      </c>
      <c r="B24" s="14" t="s">
        <v>11</v>
      </c>
      <c r="C24" s="14" t="s">
        <v>12</v>
      </c>
    </row>
    <row r="25" spans="1:7" ht="12.75" x14ac:dyDescent="0.2">
      <c r="A25" s="14">
        <v>0.2</v>
      </c>
      <c r="B25" s="14">
        <v>15000</v>
      </c>
      <c r="C25" s="14">
        <v>130</v>
      </c>
      <c r="G25" s="4"/>
    </row>
    <row r="26" spans="1:7" ht="12.75" x14ac:dyDescent="0.2">
      <c r="G26" s="4"/>
    </row>
    <row r="27" spans="1:7" ht="12.75" x14ac:dyDescent="0.2">
      <c r="A27" s="14" t="s">
        <v>13</v>
      </c>
      <c r="G27" s="16"/>
    </row>
    <row r="28" spans="1:7" ht="12.75" x14ac:dyDescent="0.2">
      <c r="A28" s="14">
        <f>A25/(2*PI()*B25*C25*10^-6)</f>
        <v>1.6323583906861061E-2</v>
      </c>
      <c r="B28" s="14" t="s">
        <v>14</v>
      </c>
    </row>
    <row r="30" spans="1:7" ht="12.75" x14ac:dyDescent="0.2">
      <c r="A30" s="14">
        <f>A28/6</f>
        <v>2.720597317810177E-3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soner güleç</cp:lastModifiedBy>
  <dcterms:modified xsi:type="dcterms:W3CDTF">2024-11-27T13:46:38Z</dcterms:modified>
</cp:coreProperties>
</file>